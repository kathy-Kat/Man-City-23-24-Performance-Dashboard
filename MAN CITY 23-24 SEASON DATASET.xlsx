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ifeunisaac-my.sharepoint.com/personal/21498407_mylife_unisa_ac_za/Documents/"/>
    </mc:Choice>
  </mc:AlternateContent>
  <xr:revisionPtr revIDLastSave="164" documentId="8_{D7F024DD-47F9-4905-AC85-DE993E1803C7}" xr6:coauthVersionLast="47" xr6:coauthVersionMax="47" xr10:uidLastSave="{BF754E07-9BFE-43C4-9A64-5DC97ACB77E1}"/>
  <bookViews>
    <workbookView xWindow="0" yWindow="24" windowWidth="23016" windowHeight="12216" xr2:uid="{58BA1E82-8297-4A1F-9BD0-F0AADBBF4C85}"/>
  </bookViews>
  <sheets>
    <sheet name="Player stats" sheetId="1" r:id="rId1"/>
    <sheet name="Match results" sheetId="2" r:id="rId2"/>
    <sheet name="Calcul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</calcChain>
</file>

<file path=xl/sharedStrings.xml><?xml version="1.0" encoding="utf-8"?>
<sst xmlns="http://schemas.openxmlformats.org/spreadsheetml/2006/main" count="233" uniqueCount="92">
  <si>
    <t>Player</t>
  </si>
  <si>
    <t>Position</t>
  </si>
  <si>
    <t>Nationality</t>
  </si>
  <si>
    <t>Age</t>
  </si>
  <si>
    <t>Height (m)</t>
  </si>
  <si>
    <t>Goals</t>
  </si>
  <si>
    <t>Assists</t>
  </si>
  <si>
    <t>Market Value (€M)</t>
  </si>
  <si>
    <t>Erling Haaland</t>
  </si>
  <si>
    <t>Centre-Forward</t>
  </si>
  <si>
    <t>Norway</t>
  </si>
  <si>
    <t>Kevin De Bruyne</t>
  </si>
  <si>
    <t>Attacking Midfield</t>
  </si>
  <si>
    <t>Belgium</t>
  </si>
  <si>
    <t>Phil Foden</t>
  </si>
  <si>
    <t>Left Wing</t>
  </si>
  <si>
    <t>England</t>
  </si>
  <si>
    <t>Bernardo Silva</t>
  </si>
  <si>
    <t>Central Midfield</t>
  </si>
  <si>
    <t>Portugal</t>
  </si>
  <si>
    <t>Rodri</t>
  </si>
  <si>
    <t>Defensive Midfield</t>
  </si>
  <si>
    <t>Spain</t>
  </si>
  <si>
    <t>Jack Grealish</t>
  </si>
  <si>
    <t>Kyle Walker</t>
  </si>
  <si>
    <t>Right Back</t>
  </si>
  <si>
    <t>Ruben Dias</t>
  </si>
  <si>
    <t>Centre-back</t>
  </si>
  <si>
    <t>John Stones</t>
  </si>
  <si>
    <t>Ederson</t>
  </si>
  <si>
    <t>Goalkeeper</t>
  </si>
  <si>
    <t>Brazil</t>
  </si>
  <si>
    <t>Matchday</t>
  </si>
  <si>
    <t>Opponent</t>
  </si>
  <si>
    <t>Home/Away</t>
  </si>
  <si>
    <t>Goals Scored</t>
  </si>
  <si>
    <t>Goals Conceded</t>
  </si>
  <si>
    <t>Result</t>
  </si>
  <si>
    <t>Points</t>
  </si>
  <si>
    <t>Chelsea</t>
  </si>
  <si>
    <t>Home</t>
  </si>
  <si>
    <t>Win</t>
  </si>
  <si>
    <t>Arsenal</t>
  </si>
  <si>
    <t>Away</t>
  </si>
  <si>
    <t>Draw</t>
  </si>
  <si>
    <t>Liverpool</t>
  </si>
  <si>
    <t>Spurs</t>
  </si>
  <si>
    <t>Newcastle</t>
  </si>
  <si>
    <t>Loss</t>
  </si>
  <si>
    <t>Brighton</t>
  </si>
  <si>
    <t>Burnley</t>
  </si>
  <si>
    <t>Sheffield Utd</t>
  </si>
  <si>
    <t>Fulham</t>
  </si>
  <si>
    <t>West Ham</t>
  </si>
  <si>
    <t>Nottingham Forest</t>
  </si>
  <si>
    <t>Wolves</t>
  </si>
  <si>
    <t>Man United</t>
  </si>
  <si>
    <t>Bournemouth</t>
  </si>
  <si>
    <t>Aston Villa</t>
  </si>
  <si>
    <t>Luton</t>
  </si>
  <si>
    <t>Crystal Palace</t>
  </si>
  <si>
    <t>Everton</t>
  </si>
  <si>
    <t>Brentford</t>
  </si>
  <si>
    <t>Tottenham</t>
  </si>
  <si>
    <t>Julian Alvarez</t>
  </si>
  <si>
    <t>Argentina</t>
  </si>
  <si>
    <t>Jeremy Doku</t>
  </si>
  <si>
    <t>Manuel Akanji</t>
  </si>
  <si>
    <t>Switzerland</t>
  </si>
  <si>
    <t>Nathan Ake</t>
  </si>
  <si>
    <t>Netherlands</t>
  </si>
  <si>
    <t>Josko Gvardiol</t>
  </si>
  <si>
    <t>Left Back</t>
  </si>
  <si>
    <t>Croatia</t>
  </si>
  <si>
    <t>Stefan Ortega</t>
  </si>
  <si>
    <t>Germany</t>
  </si>
  <si>
    <t>Weeks</t>
  </si>
  <si>
    <t>Planeyr no.</t>
  </si>
  <si>
    <t>MC001</t>
  </si>
  <si>
    <t>MC002</t>
  </si>
  <si>
    <t>MC003</t>
  </si>
  <si>
    <t>MC004</t>
  </si>
  <si>
    <t>MC009</t>
  </si>
  <si>
    <t>MC007</t>
  </si>
  <si>
    <t>MC008</t>
  </si>
  <si>
    <t>MC006</t>
  </si>
  <si>
    <t>MC000</t>
  </si>
  <si>
    <t>Rating (%)</t>
  </si>
  <si>
    <t>Appearance</t>
  </si>
  <si>
    <t>Weekly Salary (£)</t>
  </si>
  <si>
    <t>Gross Salary P/Y</t>
  </si>
  <si>
    <t>Player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</si>
</sst>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3" borderId="3" xfId="0" applyFill="1" applyBorder="1"/>
    <xf numFmtId="0" fontId="0" fillId="4" borderId="3" xfId="0" applyFill="1" applyBorder="1"/>
    <xf numFmtId="0" fontId="0" fillId="4" borderId="5" xfId="0" applyFill="1" applyBorder="1"/>
    <xf numFmtId="0" fontId="0" fillId="0" borderId="0" xfId="1" applyNumberFormat="1" applyFont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F0AE9-09A2-4055-B83B-F07D31DFD05F}" name="Table1" displayName="Table1" ref="A1:K17" totalsRowShown="0" headerRowDxfId="28" dataDxfId="27">
  <autoFilter ref="A1:K17" xr:uid="{879F0AE9-09A2-4055-B83B-F07D31DFD05F}"/>
  <tableColumns count="11">
    <tableColumn id="1" xr3:uid="{4D01136D-BEDA-4E97-8F98-CD3D16515CB2}" name="Planeyr no."/>
    <tableColumn id="2" xr3:uid="{9312C664-A1F0-49C6-8A50-C007FA43B51A}" name="Player" dataDxfId="26"/>
    <tableColumn id="3" xr3:uid="{08292CD0-A4DF-44E4-8A48-EA8FAE92C349}" name="Position" dataDxfId="25"/>
    <tableColumn id="4" xr3:uid="{598F708E-373C-4711-883C-DFF4161A79E5}" name="Nationality" dataDxfId="24"/>
    <tableColumn id="5" xr3:uid="{D080CCE9-2083-4BCF-94D0-FF5A3A4C22F6}" name="Age" dataDxfId="23"/>
    <tableColumn id="6" xr3:uid="{8A11B7DE-B399-4C31-A36B-DA5551D5DA99}" name="Height (m)" dataDxfId="22"/>
    <tableColumn id="7" xr3:uid="{32F67C19-18B6-488D-A3DD-EAF7B5C987A1}" name="Appearance" dataDxfId="21"/>
    <tableColumn id="8" xr3:uid="{CB53C990-0FF5-4CA3-87FC-6448136DF25A}" name="Goals" dataDxfId="20"/>
    <tableColumn id="9" xr3:uid="{7F06346E-A498-4768-85AE-EE5A0DEC2D44}" name="Assists" dataDxfId="19"/>
    <tableColumn id="10" xr3:uid="{296B0849-2905-4703-B4BE-F567D6EE2DE8}" name="Rating (%)" dataDxfId="18" dataCellStyle="Percent"/>
    <tableColumn id="11" xr3:uid="{574AC612-B934-4316-88FE-A6626FD675E7}" name="Market Value (€M)" dataDxfId="17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7EF542-84A1-4B31-B766-6121F676D22B}" name="Table2" displayName="Table2" ref="A1:G39" totalsRowShown="0" headerRowDxfId="16" dataDxfId="15">
  <autoFilter ref="A1:G39" xr:uid="{B47EF542-84A1-4B31-B766-6121F676D22B}"/>
  <tableColumns count="7">
    <tableColumn id="1" xr3:uid="{A74D1A47-130B-46B7-9955-D4E474113B9D}" name="Matchday" dataDxfId="14"/>
    <tableColumn id="2" xr3:uid="{89E4D849-D53A-497F-BEC5-57A9CF4E8576}" name="Opponent" dataDxfId="13"/>
    <tableColumn id="3" xr3:uid="{BF9B12F7-B886-4182-9FFE-D6D9FE710625}" name="Home/Away" dataDxfId="12"/>
    <tableColumn id="4" xr3:uid="{7779097D-2B4A-4AAE-AB01-55FE6B752797}" name="Goals Scored" dataDxfId="11"/>
    <tableColumn id="5" xr3:uid="{A1C47D9D-EFDF-41E0-9144-641BC8070899}" name="Goals Conceded" dataDxfId="10"/>
    <tableColumn id="6" xr3:uid="{ED482157-87C6-459C-879D-90D98F7AC978}" name="Result" dataDxfId="9"/>
    <tableColumn id="7" xr3:uid="{A32ABC21-C475-4063-9D5C-1129E86D7285}" name="Points" dataDxfId="8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B4425A-A609-4985-88E4-A5E4D100337F}" name="Table3" displayName="Table3" ref="A1:E17" totalsRowShown="0">
  <autoFilter ref="A1:E17" xr:uid="{7EB4425A-A609-4985-88E4-A5E4D100337F}"/>
  <tableColumns count="5">
    <tableColumn id="1" xr3:uid="{8373A224-429D-48D3-882A-51137ACCED83}" name="Player no." dataDxfId="7"/>
    <tableColumn id="2" xr3:uid="{AF3AA288-550D-4F4C-B34C-F19122473CD8}" name="Player" dataDxfId="6"/>
    <tableColumn id="3" xr3:uid="{12F21B0E-FD16-42AF-B80E-01619ADCE106}" name="Weeks"/>
    <tableColumn id="4" xr3:uid="{2F8B0D63-FB39-4976-A65F-2105566FB1FE}" name="Weekly Salary (£)" dataDxfId="5"/>
    <tableColumn id="5" xr3:uid="{4A640A22-50DB-4A69-A6B5-E6D0798256CF}" name="Gross Salary P/Y" dataDxfId="4">
      <calculatedColumnFormula>PRODUCT(C2:D2)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4314-E403-4675-B750-76A8AACD046D}">
  <dimension ref="A1:K18"/>
  <sheetViews>
    <sheetView tabSelected="1" workbookViewId="0">
      <selection activeCell="L16" sqref="L16"/>
    </sheetView>
  </sheetViews>
  <sheetFormatPr defaultRowHeight="14.4" x14ac:dyDescent="0.3"/>
  <cols>
    <col min="1" max="11" width="10.77734375" customWidth="1"/>
  </cols>
  <sheetData>
    <row r="1" spans="1:11" ht="28.8" x14ac:dyDescent="0.3">
      <c r="A1" s="3" t="s">
        <v>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5</v>
      </c>
      <c r="I1" s="1" t="s">
        <v>6</v>
      </c>
      <c r="J1" s="1" t="s">
        <v>87</v>
      </c>
      <c r="K1" s="1" t="s">
        <v>7</v>
      </c>
    </row>
    <row r="2" spans="1:11" ht="28.8" customHeight="1" x14ac:dyDescent="0.3">
      <c r="A2" t="s">
        <v>78</v>
      </c>
      <c r="B2" s="2" t="s">
        <v>8</v>
      </c>
      <c r="C2" s="2" t="s">
        <v>9</v>
      </c>
      <c r="D2" s="2" t="s">
        <v>10</v>
      </c>
      <c r="E2" s="2">
        <v>23</v>
      </c>
      <c r="F2" s="2">
        <v>1.94</v>
      </c>
      <c r="G2" s="2">
        <v>31</v>
      </c>
      <c r="H2" s="2">
        <v>27</v>
      </c>
      <c r="I2" s="2">
        <v>5</v>
      </c>
      <c r="J2" s="7">
        <v>91</v>
      </c>
      <c r="K2" s="2">
        <v>180</v>
      </c>
    </row>
    <row r="3" spans="1:11" ht="28.8" customHeight="1" x14ac:dyDescent="0.3">
      <c r="A3" t="s">
        <v>79</v>
      </c>
      <c r="B3" s="2" t="s">
        <v>11</v>
      </c>
      <c r="C3" s="2" t="s">
        <v>12</v>
      </c>
      <c r="D3" s="2" t="s">
        <v>13</v>
      </c>
      <c r="E3" s="2">
        <v>32</v>
      </c>
      <c r="F3" s="2">
        <v>1.81</v>
      </c>
      <c r="G3" s="2">
        <v>18</v>
      </c>
      <c r="H3" s="2">
        <v>4</v>
      </c>
      <c r="I3" s="2">
        <v>10</v>
      </c>
      <c r="J3" s="7">
        <v>90</v>
      </c>
      <c r="K3" s="2">
        <v>70</v>
      </c>
    </row>
    <row r="4" spans="1:11" ht="28.8" customHeight="1" x14ac:dyDescent="0.3">
      <c r="A4" t="s">
        <v>80</v>
      </c>
      <c r="B4" s="2" t="s">
        <v>14</v>
      </c>
      <c r="C4" s="2" t="s">
        <v>12</v>
      </c>
      <c r="D4" s="2" t="s">
        <v>16</v>
      </c>
      <c r="E4" s="2">
        <v>23</v>
      </c>
      <c r="F4" s="2">
        <v>1.71</v>
      </c>
      <c r="G4" s="2">
        <v>35</v>
      </c>
      <c r="H4" s="2">
        <v>19</v>
      </c>
      <c r="I4" s="2">
        <v>8</v>
      </c>
      <c r="J4" s="7">
        <v>89</v>
      </c>
      <c r="K4" s="2">
        <v>110</v>
      </c>
    </row>
    <row r="5" spans="1:11" ht="28.8" customHeight="1" x14ac:dyDescent="0.3">
      <c r="A5" t="s">
        <v>81</v>
      </c>
      <c r="B5" s="2" t="s">
        <v>64</v>
      </c>
      <c r="C5" s="2" t="s">
        <v>9</v>
      </c>
      <c r="D5" s="2" t="s">
        <v>65</v>
      </c>
      <c r="E5" s="2">
        <v>24</v>
      </c>
      <c r="F5" s="2">
        <v>1.7</v>
      </c>
      <c r="G5" s="2">
        <v>36</v>
      </c>
      <c r="H5" s="2">
        <v>11</v>
      </c>
      <c r="I5" s="2">
        <v>9</v>
      </c>
      <c r="J5" s="7">
        <v>86</v>
      </c>
      <c r="K5" s="2">
        <v>90</v>
      </c>
    </row>
    <row r="6" spans="1:11" ht="28.8" customHeight="1" x14ac:dyDescent="0.3">
      <c r="A6" t="s">
        <v>82</v>
      </c>
      <c r="B6" s="2" t="s">
        <v>17</v>
      </c>
      <c r="C6" s="2" t="s">
        <v>18</v>
      </c>
      <c r="D6" s="2" t="s">
        <v>19</v>
      </c>
      <c r="E6" s="2">
        <v>29</v>
      </c>
      <c r="F6" s="2">
        <v>1.73</v>
      </c>
      <c r="G6" s="2">
        <v>33</v>
      </c>
      <c r="H6" s="2">
        <v>6</v>
      </c>
      <c r="I6" s="2">
        <v>8</v>
      </c>
      <c r="J6" s="7">
        <v>87</v>
      </c>
      <c r="K6" s="2">
        <v>80</v>
      </c>
    </row>
    <row r="7" spans="1:11" ht="28.8" customHeight="1" x14ac:dyDescent="0.3">
      <c r="A7" t="s">
        <v>83</v>
      </c>
      <c r="B7" s="2" t="s">
        <v>20</v>
      </c>
      <c r="C7" s="2" t="s">
        <v>21</v>
      </c>
      <c r="D7" s="2" t="s">
        <v>22</v>
      </c>
      <c r="E7" s="2">
        <v>27</v>
      </c>
      <c r="F7" s="2">
        <v>1.91</v>
      </c>
      <c r="G7" s="2">
        <v>34</v>
      </c>
      <c r="H7" s="2">
        <v>8</v>
      </c>
      <c r="I7" s="2">
        <v>9</v>
      </c>
      <c r="J7" s="7">
        <v>89</v>
      </c>
      <c r="K7" s="2">
        <v>100</v>
      </c>
    </row>
    <row r="8" spans="1:11" ht="28.8" customHeight="1" x14ac:dyDescent="0.3">
      <c r="A8" t="s">
        <v>84</v>
      </c>
      <c r="B8" s="2" t="s">
        <v>23</v>
      </c>
      <c r="C8" s="2" t="s">
        <v>15</v>
      </c>
      <c r="D8" s="2" t="s">
        <v>16</v>
      </c>
      <c r="E8" s="2">
        <v>28</v>
      </c>
      <c r="F8" s="2">
        <v>1.8</v>
      </c>
      <c r="G8" s="2">
        <v>26</v>
      </c>
      <c r="H8" s="2">
        <v>3</v>
      </c>
      <c r="I8" s="2">
        <v>3</v>
      </c>
      <c r="J8" s="7">
        <v>84</v>
      </c>
      <c r="K8" s="2">
        <v>65</v>
      </c>
    </row>
    <row r="9" spans="1:11" ht="28.8" customHeight="1" x14ac:dyDescent="0.3">
      <c r="A9" t="s">
        <v>78</v>
      </c>
      <c r="B9" s="2" t="s">
        <v>66</v>
      </c>
      <c r="C9" s="2" t="s">
        <v>15</v>
      </c>
      <c r="D9" s="2" t="s">
        <v>13</v>
      </c>
      <c r="E9" s="2">
        <v>21</v>
      </c>
      <c r="F9" s="2">
        <v>1.73</v>
      </c>
      <c r="G9" s="2">
        <v>29</v>
      </c>
      <c r="H9" s="2">
        <v>3</v>
      </c>
      <c r="I9" s="2">
        <v>8</v>
      </c>
      <c r="J9" s="7">
        <v>85</v>
      </c>
      <c r="K9" s="2">
        <v>60</v>
      </c>
    </row>
    <row r="10" spans="1:11" ht="28.8" customHeight="1" x14ac:dyDescent="0.3">
      <c r="A10" t="s">
        <v>80</v>
      </c>
      <c r="B10" s="2" t="s">
        <v>24</v>
      </c>
      <c r="C10" s="2" t="s">
        <v>25</v>
      </c>
      <c r="D10" s="2" t="s">
        <v>16</v>
      </c>
      <c r="E10" s="2">
        <v>33</v>
      </c>
      <c r="F10" s="2">
        <v>1.83</v>
      </c>
      <c r="G10" s="2">
        <v>32</v>
      </c>
      <c r="H10" s="2">
        <v>0</v>
      </c>
      <c r="I10" s="2">
        <v>2</v>
      </c>
      <c r="J10" s="7">
        <v>85</v>
      </c>
      <c r="K10" s="2">
        <v>20</v>
      </c>
    </row>
    <row r="11" spans="1:11" ht="28.8" customHeight="1" x14ac:dyDescent="0.3">
      <c r="A11" t="s">
        <v>82</v>
      </c>
      <c r="B11" s="2" t="s">
        <v>28</v>
      </c>
      <c r="C11" s="2" t="s">
        <v>27</v>
      </c>
      <c r="D11" s="2" t="s">
        <v>16</v>
      </c>
      <c r="E11" s="2">
        <v>29</v>
      </c>
      <c r="F11" s="2">
        <v>1.88</v>
      </c>
      <c r="G11" s="2">
        <v>23</v>
      </c>
      <c r="H11" s="2">
        <v>2</v>
      </c>
      <c r="I11" s="2">
        <v>2</v>
      </c>
      <c r="J11" s="7">
        <v>87</v>
      </c>
      <c r="K11" s="2">
        <v>60</v>
      </c>
    </row>
    <row r="12" spans="1:11" ht="28.8" customHeight="1" x14ac:dyDescent="0.3">
      <c r="A12" t="s">
        <v>85</v>
      </c>
      <c r="B12" s="2" t="s">
        <v>26</v>
      </c>
      <c r="C12" s="2" t="s">
        <v>27</v>
      </c>
      <c r="D12" s="2" t="s">
        <v>19</v>
      </c>
      <c r="E12" s="2">
        <v>26</v>
      </c>
      <c r="F12" s="2">
        <v>1.87</v>
      </c>
      <c r="G12" s="2">
        <v>30</v>
      </c>
      <c r="H12" s="2">
        <v>1</v>
      </c>
      <c r="I12" s="2">
        <v>1</v>
      </c>
      <c r="J12" s="7">
        <v>88</v>
      </c>
      <c r="K12" s="2">
        <v>75</v>
      </c>
    </row>
    <row r="13" spans="1:11" ht="28.8" customHeight="1" x14ac:dyDescent="0.3">
      <c r="A13" t="s">
        <v>84</v>
      </c>
      <c r="B13" s="2" t="s">
        <v>67</v>
      </c>
      <c r="C13" s="2" t="s">
        <v>27</v>
      </c>
      <c r="D13" s="2" t="s">
        <v>68</v>
      </c>
      <c r="E13" s="2">
        <v>28</v>
      </c>
      <c r="F13" s="2">
        <v>1.88</v>
      </c>
      <c r="G13" s="2">
        <v>31</v>
      </c>
      <c r="H13" s="2">
        <v>2</v>
      </c>
      <c r="I13" s="2">
        <v>1</v>
      </c>
      <c r="J13" s="7">
        <v>86</v>
      </c>
      <c r="K13" s="2">
        <v>45</v>
      </c>
    </row>
    <row r="14" spans="1:11" ht="28.8" customHeight="1" x14ac:dyDescent="0.3">
      <c r="A14" t="s">
        <v>82</v>
      </c>
      <c r="B14" s="2" t="s">
        <v>69</v>
      </c>
      <c r="C14" s="2" t="s">
        <v>27</v>
      </c>
      <c r="D14" s="2" t="s">
        <v>70</v>
      </c>
      <c r="E14" s="2">
        <v>29</v>
      </c>
      <c r="F14" s="2">
        <v>1.8</v>
      </c>
      <c r="G14" s="2">
        <v>28</v>
      </c>
      <c r="H14" s="2">
        <v>2</v>
      </c>
      <c r="I14" s="2">
        <v>1</v>
      </c>
      <c r="J14" s="7">
        <v>86</v>
      </c>
      <c r="K14" s="2">
        <v>40</v>
      </c>
    </row>
    <row r="15" spans="1:11" ht="28.8" customHeight="1" x14ac:dyDescent="0.3">
      <c r="A15" t="s">
        <v>79</v>
      </c>
      <c r="B15" s="2" t="s">
        <v>71</v>
      </c>
      <c r="C15" s="2" t="s">
        <v>72</v>
      </c>
      <c r="D15" s="2" t="s">
        <v>73</v>
      </c>
      <c r="E15" s="2">
        <v>22</v>
      </c>
      <c r="F15" s="2">
        <v>1.85</v>
      </c>
      <c r="G15" s="2">
        <v>32</v>
      </c>
      <c r="H15" s="2">
        <v>4</v>
      </c>
      <c r="I15" s="2">
        <v>2</v>
      </c>
      <c r="J15" s="7">
        <v>87</v>
      </c>
      <c r="K15" s="2">
        <v>75</v>
      </c>
    </row>
    <row r="16" spans="1:11" ht="28.8" customHeight="1" x14ac:dyDescent="0.3">
      <c r="A16" t="s">
        <v>86</v>
      </c>
      <c r="B16" s="2" t="s">
        <v>29</v>
      </c>
      <c r="C16" s="2" t="s">
        <v>30</v>
      </c>
      <c r="D16" s="2" t="s">
        <v>31</v>
      </c>
      <c r="E16" s="2">
        <v>30</v>
      </c>
      <c r="F16" s="2">
        <v>1.88</v>
      </c>
      <c r="G16" s="2">
        <v>35</v>
      </c>
      <c r="H16" s="2">
        <v>0</v>
      </c>
      <c r="I16" s="2">
        <v>1</v>
      </c>
      <c r="J16" s="7">
        <v>87</v>
      </c>
      <c r="K16" s="2">
        <v>45</v>
      </c>
    </row>
    <row r="17" spans="1:11" ht="28.8" customHeight="1" x14ac:dyDescent="0.3">
      <c r="A17" t="s">
        <v>78</v>
      </c>
      <c r="B17" s="2" t="s">
        <v>74</v>
      </c>
      <c r="C17" s="2" t="s">
        <v>30</v>
      </c>
      <c r="D17" s="2" t="s">
        <v>75</v>
      </c>
      <c r="E17" s="2">
        <v>31</v>
      </c>
      <c r="F17" s="2">
        <v>1.85</v>
      </c>
      <c r="G17" s="2">
        <v>9</v>
      </c>
      <c r="H17" s="2">
        <v>0</v>
      </c>
      <c r="I17" s="2">
        <v>0</v>
      </c>
      <c r="J17" s="7">
        <v>84</v>
      </c>
      <c r="K17" s="2">
        <v>15</v>
      </c>
    </row>
    <row r="18" spans="1:11" ht="28.8" customHeight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4E85-37F1-4C23-B92D-4670EA6CC2AB}">
  <dimension ref="A1:G39"/>
  <sheetViews>
    <sheetView topLeftCell="A10" workbookViewId="0">
      <selection activeCell="I10" sqref="I10"/>
    </sheetView>
  </sheetViews>
  <sheetFormatPr defaultRowHeight="14.4" x14ac:dyDescent="0.3"/>
  <cols>
    <col min="1" max="7" width="10.77734375" customWidth="1"/>
  </cols>
  <sheetData>
    <row r="1" spans="1:7" ht="28.8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ht="28.8" customHeight="1" x14ac:dyDescent="0.3">
      <c r="A2" s="2">
        <v>1</v>
      </c>
      <c r="B2" s="2" t="s">
        <v>50</v>
      </c>
      <c r="C2" s="2" t="s">
        <v>43</v>
      </c>
      <c r="D2" s="2">
        <v>3</v>
      </c>
      <c r="E2" s="2">
        <v>0</v>
      </c>
      <c r="F2" s="2" t="s">
        <v>41</v>
      </c>
      <c r="G2" s="2">
        <v>3</v>
      </c>
    </row>
    <row r="3" spans="1:7" ht="28.8" customHeight="1" x14ac:dyDescent="0.3">
      <c r="A3" s="2">
        <v>2</v>
      </c>
      <c r="B3" s="2" t="s">
        <v>47</v>
      </c>
      <c r="C3" s="2" t="s">
        <v>40</v>
      </c>
      <c r="D3" s="2">
        <v>1</v>
      </c>
      <c r="E3" s="2">
        <v>0</v>
      </c>
      <c r="F3" s="2" t="s">
        <v>41</v>
      </c>
      <c r="G3" s="2">
        <v>3</v>
      </c>
    </row>
    <row r="4" spans="1:7" ht="28.8" customHeight="1" x14ac:dyDescent="0.3">
      <c r="A4" s="2">
        <v>3</v>
      </c>
      <c r="B4" s="2" t="s">
        <v>51</v>
      </c>
      <c r="C4" s="2" t="s">
        <v>43</v>
      </c>
      <c r="D4" s="2">
        <v>2</v>
      </c>
      <c r="E4" s="2">
        <v>1</v>
      </c>
      <c r="F4" s="2" t="s">
        <v>41</v>
      </c>
      <c r="G4" s="2">
        <v>3</v>
      </c>
    </row>
    <row r="5" spans="1:7" ht="28.8" customHeight="1" x14ac:dyDescent="0.3">
      <c r="A5" s="2">
        <v>4</v>
      </c>
      <c r="B5" s="2" t="s">
        <v>52</v>
      </c>
      <c r="C5" s="2" t="s">
        <v>40</v>
      </c>
      <c r="D5" s="2">
        <v>5</v>
      </c>
      <c r="E5" s="2">
        <v>1</v>
      </c>
      <c r="F5" s="2" t="s">
        <v>41</v>
      </c>
      <c r="G5" s="2">
        <v>3</v>
      </c>
    </row>
    <row r="6" spans="1:7" ht="28.8" customHeight="1" x14ac:dyDescent="0.3">
      <c r="A6" s="2">
        <v>5</v>
      </c>
      <c r="B6" s="2" t="s">
        <v>53</v>
      </c>
      <c r="C6" s="2" t="s">
        <v>43</v>
      </c>
      <c r="D6" s="2">
        <v>3</v>
      </c>
      <c r="E6" s="2">
        <v>1</v>
      </c>
      <c r="F6" s="2" t="s">
        <v>41</v>
      </c>
      <c r="G6" s="2">
        <v>3</v>
      </c>
    </row>
    <row r="7" spans="1:7" ht="28.8" customHeight="1" x14ac:dyDescent="0.3">
      <c r="A7" s="2">
        <v>6</v>
      </c>
      <c r="B7" s="2" t="s">
        <v>54</v>
      </c>
      <c r="C7" s="2" t="s">
        <v>40</v>
      </c>
      <c r="D7" s="2">
        <v>2</v>
      </c>
      <c r="E7" s="2">
        <v>0</v>
      </c>
      <c r="F7" s="2" t="s">
        <v>41</v>
      </c>
      <c r="G7" s="2">
        <v>3</v>
      </c>
    </row>
    <row r="8" spans="1:7" ht="28.8" customHeight="1" x14ac:dyDescent="0.3">
      <c r="A8" s="2">
        <v>7</v>
      </c>
      <c r="B8" s="2" t="s">
        <v>55</v>
      </c>
      <c r="C8" s="2" t="s">
        <v>43</v>
      </c>
      <c r="D8" s="2">
        <v>1</v>
      </c>
      <c r="E8" s="2">
        <v>2</v>
      </c>
      <c r="F8" s="2" t="s">
        <v>48</v>
      </c>
      <c r="G8" s="2">
        <v>0</v>
      </c>
    </row>
    <row r="9" spans="1:7" ht="28.8" customHeight="1" x14ac:dyDescent="0.3">
      <c r="A9" s="2">
        <v>8</v>
      </c>
      <c r="B9" s="2" t="s">
        <v>42</v>
      </c>
      <c r="C9" s="2" t="s">
        <v>43</v>
      </c>
      <c r="D9" s="2">
        <v>0</v>
      </c>
      <c r="E9" s="2">
        <v>1</v>
      </c>
      <c r="F9" s="2" t="s">
        <v>48</v>
      </c>
      <c r="G9" s="2">
        <v>0</v>
      </c>
    </row>
    <row r="10" spans="1:7" ht="28.8" customHeight="1" x14ac:dyDescent="0.3">
      <c r="A10" s="2">
        <v>9</v>
      </c>
      <c r="B10" s="2" t="s">
        <v>49</v>
      </c>
      <c r="C10" s="2" t="s">
        <v>40</v>
      </c>
      <c r="D10" s="2">
        <v>2</v>
      </c>
      <c r="E10" s="2">
        <v>1</v>
      </c>
      <c r="F10" s="2" t="s">
        <v>41</v>
      </c>
      <c r="G10" s="2">
        <v>3</v>
      </c>
    </row>
    <row r="11" spans="1:7" ht="28.8" customHeight="1" x14ac:dyDescent="0.3">
      <c r="A11" s="2">
        <v>10</v>
      </c>
      <c r="B11" s="2" t="s">
        <v>56</v>
      </c>
      <c r="C11" s="2" t="s">
        <v>43</v>
      </c>
      <c r="D11" s="2">
        <v>3</v>
      </c>
      <c r="E11" s="2">
        <v>0</v>
      </c>
      <c r="F11" s="2" t="s">
        <v>41</v>
      </c>
      <c r="G11" s="2">
        <v>3</v>
      </c>
    </row>
    <row r="12" spans="1:7" ht="28.8" customHeight="1" x14ac:dyDescent="0.3">
      <c r="A12" s="2">
        <v>11</v>
      </c>
      <c r="B12" s="2" t="s">
        <v>57</v>
      </c>
      <c r="C12" s="2" t="s">
        <v>40</v>
      </c>
      <c r="D12" s="2">
        <v>6</v>
      </c>
      <c r="E12" s="2">
        <v>1</v>
      </c>
      <c r="F12" s="2" t="s">
        <v>41</v>
      </c>
      <c r="G12" s="2">
        <v>3</v>
      </c>
    </row>
    <row r="13" spans="1:7" ht="28.8" customHeight="1" x14ac:dyDescent="0.3">
      <c r="A13" s="2">
        <v>12</v>
      </c>
      <c r="B13" s="2" t="s">
        <v>39</v>
      </c>
      <c r="C13" s="2" t="s">
        <v>43</v>
      </c>
      <c r="D13" s="2">
        <v>4</v>
      </c>
      <c r="E13" s="2">
        <v>4</v>
      </c>
      <c r="F13" s="2" t="s">
        <v>44</v>
      </c>
      <c r="G13" s="2">
        <v>1</v>
      </c>
    </row>
    <row r="14" spans="1:7" ht="28.8" customHeight="1" x14ac:dyDescent="0.3">
      <c r="A14" s="2">
        <v>13</v>
      </c>
      <c r="B14" s="2" t="s">
        <v>45</v>
      </c>
      <c r="C14" s="2" t="s">
        <v>40</v>
      </c>
      <c r="D14" s="2">
        <v>1</v>
      </c>
      <c r="E14" s="2">
        <v>1</v>
      </c>
      <c r="F14" s="2" t="s">
        <v>44</v>
      </c>
      <c r="G14" s="2">
        <v>1</v>
      </c>
    </row>
    <row r="15" spans="1:7" ht="28.8" customHeight="1" x14ac:dyDescent="0.3">
      <c r="A15" s="2">
        <v>14</v>
      </c>
      <c r="B15" s="2" t="s">
        <v>46</v>
      </c>
      <c r="C15" s="2" t="s">
        <v>40</v>
      </c>
      <c r="D15" s="2">
        <v>3</v>
      </c>
      <c r="E15" s="2">
        <v>3</v>
      </c>
      <c r="F15" s="2" t="s">
        <v>44</v>
      </c>
      <c r="G15" s="2">
        <v>1</v>
      </c>
    </row>
    <row r="16" spans="1:7" ht="28.8" customHeight="1" x14ac:dyDescent="0.3">
      <c r="A16" s="2">
        <v>15</v>
      </c>
      <c r="B16" s="2" t="s">
        <v>58</v>
      </c>
      <c r="C16" s="2" t="s">
        <v>43</v>
      </c>
      <c r="D16" s="2">
        <v>0</v>
      </c>
      <c r="E16" s="2">
        <v>1</v>
      </c>
      <c r="F16" s="2" t="s">
        <v>48</v>
      </c>
      <c r="G16" s="2">
        <v>0</v>
      </c>
    </row>
    <row r="17" spans="1:7" ht="28.8" customHeight="1" x14ac:dyDescent="0.3">
      <c r="A17" s="2">
        <v>16</v>
      </c>
      <c r="B17" s="2" t="s">
        <v>59</v>
      </c>
      <c r="C17" s="2" t="s">
        <v>43</v>
      </c>
      <c r="D17" s="2">
        <v>2</v>
      </c>
      <c r="E17" s="2">
        <v>1</v>
      </c>
      <c r="F17" s="2" t="s">
        <v>41</v>
      </c>
      <c r="G17" s="2">
        <v>3</v>
      </c>
    </row>
    <row r="18" spans="1:7" ht="28.8" customHeight="1" x14ac:dyDescent="0.3">
      <c r="A18" s="2">
        <v>17</v>
      </c>
      <c r="B18" s="2" t="s">
        <v>60</v>
      </c>
      <c r="C18" s="2" t="s">
        <v>40</v>
      </c>
      <c r="D18" s="2">
        <v>2</v>
      </c>
      <c r="E18" s="2">
        <v>2</v>
      </c>
      <c r="F18" s="2" t="s">
        <v>44</v>
      </c>
      <c r="G18" s="2">
        <v>1</v>
      </c>
    </row>
    <row r="19" spans="1:7" ht="28.8" customHeight="1" x14ac:dyDescent="0.3">
      <c r="A19" s="2">
        <v>18</v>
      </c>
      <c r="B19" s="2" t="s">
        <v>61</v>
      </c>
      <c r="C19" s="2" t="s">
        <v>43</v>
      </c>
      <c r="D19" s="2">
        <v>3</v>
      </c>
      <c r="E19" s="2">
        <v>1</v>
      </c>
      <c r="F19" s="2" t="s">
        <v>41</v>
      </c>
      <c r="G19" s="2">
        <v>3</v>
      </c>
    </row>
    <row r="20" spans="1:7" ht="28.8" customHeight="1" x14ac:dyDescent="0.3">
      <c r="A20" s="2">
        <v>19</v>
      </c>
      <c r="B20" s="2" t="s">
        <v>51</v>
      </c>
      <c r="C20" s="2" t="s">
        <v>40</v>
      </c>
      <c r="D20" s="2">
        <v>2</v>
      </c>
      <c r="E20" s="2">
        <v>0</v>
      </c>
      <c r="F20" s="2" t="s">
        <v>41</v>
      </c>
      <c r="G20" s="2">
        <v>3</v>
      </c>
    </row>
    <row r="21" spans="1:7" ht="28.8" customHeight="1" x14ac:dyDescent="0.3">
      <c r="A21" s="2">
        <v>20</v>
      </c>
      <c r="B21" s="2" t="s">
        <v>50</v>
      </c>
      <c r="C21" s="2" t="s">
        <v>40</v>
      </c>
      <c r="D21" s="2">
        <v>3</v>
      </c>
      <c r="E21" s="2">
        <v>1</v>
      </c>
      <c r="F21" s="2" t="s">
        <v>41</v>
      </c>
      <c r="G21" s="2">
        <v>3</v>
      </c>
    </row>
    <row r="22" spans="1:7" ht="28.8" customHeight="1" x14ac:dyDescent="0.3">
      <c r="A22" s="2">
        <v>21</v>
      </c>
      <c r="B22" s="2" t="s">
        <v>47</v>
      </c>
      <c r="C22" s="2" t="s">
        <v>43</v>
      </c>
      <c r="D22" s="2">
        <v>3</v>
      </c>
      <c r="E22" s="2">
        <v>2</v>
      </c>
      <c r="F22" s="2" t="s">
        <v>41</v>
      </c>
      <c r="G22" s="2">
        <v>3</v>
      </c>
    </row>
    <row r="23" spans="1:7" ht="28.8" customHeight="1" x14ac:dyDescent="0.3">
      <c r="A23" s="2">
        <v>22</v>
      </c>
      <c r="B23" s="2" t="s">
        <v>62</v>
      </c>
      <c r="C23" s="2" t="s">
        <v>43</v>
      </c>
      <c r="D23" s="2">
        <v>3</v>
      </c>
      <c r="E23" s="2">
        <v>1</v>
      </c>
      <c r="F23" s="2" t="s">
        <v>41</v>
      </c>
      <c r="G23" s="2">
        <v>3</v>
      </c>
    </row>
    <row r="24" spans="1:7" ht="28.8" customHeight="1" x14ac:dyDescent="0.3">
      <c r="A24" s="2">
        <v>23</v>
      </c>
      <c r="B24" s="2" t="s">
        <v>61</v>
      </c>
      <c r="C24" s="2" t="s">
        <v>40</v>
      </c>
      <c r="D24" s="2">
        <v>2</v>
      </c>
      <c r="E24" s="2">
        <v>0</v>
      </c>
      <c r="F24" s="2" t="s">
        <v>41</v>
      </c>
      <c r="G24" s="2">
        <v>3</v>
      </c>
    </row>
    <row r="25" spans="1:7" ht="28.8" customHeight="1" x14ac:dyDescent="0.3">
      <c r="A25" s="2">
        <v>24</v>
      </c>
      <c r="B25" s="2" t="s">
        <v>39</v>
      </c>
      <c r="C25" s="2" t="s">
        <v>40</v>
      </c>
      <c r="D25" s="2">
        <v>1</v>
      </c>
      <c r="E25" s="2">
        <v>1</v>
      </c>
      <c r="F25" s="2" t="s">
        <v>44</v>
      </c>
      <c r="G25" s="2">
        <v>1</v>
      </c>
    </row>
    <row r="26" spans="1:7" ht="28.8" customHeight="1" x14ac:dyDescent="0.3">
      <c r="A26" s="2">
        <v>25</v>
      </c>
      <c r="B26" s="2" t="s">
        <v>62</v>
      </c>
      <c r="C26" s="2" t="s">
        <v>40</v>
      </c>
      <c r="D26" s="2">
        <v>1</v>
      </c>
      <c r="E26" s="2">
        <v>0</v>
      </c>
      <c r="F26" s="2" t="s">
        <v>41</v>
      </c>
      <c r="G26" s="2">
        <v>3</v>
      </c>
    </row>
    <row r="27" spans="1:7" ht="28.8" customHeight="1" x14ac:dyDescent="0.3">
      <c r="A27" s="2">
        <v>26</v>
      </c>
      <c r="B27" s="2" t="s">
        <v>57</v>
      </c>
      <c r="C27" s="2" t="s">
        <v>43</v>
      </c>
      <c r="D27" s="2">
        <v>1</v>
      </c>
      <c r="E27" s="2">
        <v>0</v>
      </c>
      <c r="F27" s="2" t="s">
        <v>41</v>
      </c>
      <c r="G27" s="2">
        <v>3</v>
      </c>
    </row>
    <row r="28" spans="1:7" ht="28.8" customHeight="1" x14ac:dyDescent="0.3">
      <c r="A28" s="2">
        <v>27</v>
      </c>
      <c r="B28" s="2" t="s">
        <v>56</v>
      </c>
      <c r="C28" s="2" t="s">
        <v>40</v>
      </c>
      <c r="D28" s="2">
        <v>3</v>
      </c>
      <c r="E28" s="2">
        <v>1</v>
      </c>
      <c r="F28" s="2" t="s">
        <v>41</v>
      </c>
      <c r="G28" s="2">
        <v>3</v>
      </c>
    </row>
    <row r="29" spans="1:7" ht="28.8" customHeight="1" x14ac:dyDescent="0.3">
      <c r="A29" s="2">
        <v>28</v>
      </c>
      <c r="B29" s="2" t="s">
        <v>45</v>
      </c>
      <c r="C29" s="2" t="s">
        <v>43</v>
      </c>
      <c r="D29" s="2">
        <v>1</v>
      </c>
      <c r="E29" s="2">
        <v>1</v>
      </c>
      <c r="F29" s="2" t="s">
        <v>44</v>
      </c>
      <c r="G29" s="2">
        <v>1</v>
      </c>
    </row>
    <row r="30" spans="1:7" ht="28.8" customHeight="1" x14ac:dyDescent="0.3">
      <c r="A30" s="2">
        <v>29</v>
      </c>
      <c r="B30" s="2" t="s">
        <v>49</v>
      </c>
      <c r="C30" s="2" t="s">
        <v>43</v>
      </c>
      <c r="D30" s="2">
        <v>4</v>
      </c>
      <c r="E30" s="2">
        <v>0</v>
      </c>
      <c r="F30" s="2" t="s">
        <v>41</v>
      </c>
      <c r="G30" s="2">
        <v>3</v>
      </c>
    </row>
    <row r="31" spans="1:7" ht="28.8" customHeight="1" x14ac:dyDescent="0.3">
      <c r="A31" s="2">
        <v>30</v>
      </c>
      <c r="B31" s="2" t="s">
        <v>42</v>
      </c>
      <c r="C31" s="2" t="s">
        <v>40</v>
      </c>
      <c r="D31" s="2">
        <v>0</v>
      </c>
      <c r="E31" s="2">
        <v>0</v>
      </c>
      <c r="F31" s="2" t="s">
        <v>44</v>
      </c>
      <c r="G31" s="2">
        <v>1</v>
      </c>
    </row>
    <row r="32" spans="1:7" ht="28.8" customHeight="1" x14ac:dyDescent="0.3">
      <c r="A32" s="2">
        <v>31</v>
      </c>
      <c r="B32" s="2" t="s">
        <v>58</v>
      </c>
      <c r="C32" s="2" t="s">
        <v>40</v>
      </c>
      <c r="D32" s="2">
        <v>4</v>
      </c>
      <c r="E32" s="2">
        <v>1</v>
      </c>
      <c r="F32" s="2" t="s">
        <v>41</v>
      </c>
      <c r="G32" s="2">
        <v>3</v>
      </c>
    </row>
    <row r="33" spans="1:7" ht="28.8" customHeight="1" x14ac:dyDescent="0.3">
      <c r="A33" s="2">
        <v>32</v>
      </c>
      <c r="B33" s="2" t="s">
        <v>60</v>
      </c>
      <c r="C33" s="2" t="s">
        <v>43</v>
      </c>
      <c r="D33" s="2">
        <v>4</v>
      </c>
      <c r="E33" s="2">
        <v>2</v>
      </c>
      <c r="F33" s="2" t="s">
        <v>41</v>
      </c>
      <c r="G33" s="2">
        <v>3</v>
      </c>
    </row>
    <row r="34" spans="1:7" ht="28.8" customHeight="1" x14ac:dyDescent="0.3">
      <c r="A34" s="2">
        <v>33</v>
      </c>
      <c r="B34" s="2" t="s">
        <v>59</v>
      </c>
      <c r="C34" s="2" t="s">
        <v>40</v>
      </c>
      <c r="D34" s="2">
        <v>5</v>
      </c>
      <c r="E34" s="2">
        <v>1</v>
      </c>
      <c r="F34" s="2" t="s">
        <v>41</v>
      </c>
      <c r="G34" s="2">
        <v>3</v>
      </c>
    </row>
    <row r="35" spans="1:7" ht="28.8" customHeight="1" x14ac:dyDescent="0.3">
      <c r="A35" s="2">
        <v>34</v>
      </c>
      <c r="B35" s="2" t="s">
        <v>63</v>
      </c>
      <c r="C35" s="2" t="s">
        <v>43</v>
      </c>
      <c r="D35" s="2">
        <v>2</v>
      </c>
      <c r="E35" s="2">
        <v>0</v>
      </c>
      <c r="F35" s="2" t="s">
        <v>41</v>
      </c>
      <c r="G35" s="2">
        <v>3</v>
      </c>
    </row>
    <row r="36" spans="1:7" ht="28.8" customHeight="1" x14ac:dyDescent="0.3">
      <c r="A36" s="2">
        <v>35</v>
      </c>
      <c r="B36" s="2" t="s">
        <v>54</v>
      </c>
      <c r="C36" s="2" t="s">
        <v>43</v>
      </c>
      <c r="D36" s="2">
        <v>2</v>
      </c>
      <c r="E36" s="2">
        <v>0</v>
      </c>
      <c r="F36" s="2" t="s">
        <v>41</v>
      </c>
      <c r="G36" s="2">
        <v>3</v>
      </c>
    </row>
    <row r="37" spans="1:7" ht="28.8" customHeight="1" x14ac:dyDescent="0.3">
      <c r="A37" s="2">
        <v>36</v>
      </c>
      <c r="B37" s="2" t="s">
        <v>55</v>
      </c>
      <c r="C37" s="2" t="s">
        <v>40</v>
      </c>
      <c r="D37" s="2">
        <v>5</v>
      </c>
      <c r="E37" s="2">
        <v>1</v>
      </c>
      <c r="F37" s="2" t="s">
        <v>41</v>
      </c>
      <c r="G37" s="2">
        <v>3</v>
      </c>
    </row>
    <row r="38" spans="1:7" ht="28.8" customHeight="1" x14ac:dyDescent="0.3">
      <c r="A38" s="2">
        <v>37</v>
      </c>
      <c r="B38" s="2" t="s">
        <v>52</v>
      </c>
      <c r="C38" s="2" t="s">
        <v>43</v>
      </c>
      <c r="D38" s="2">
        <v>4</v>
      </c>
      <c r="E38" s="2">
        <v>0</v>
      </c>
      <c r="F38" s="2" t="s">
        <v>41</v>
      </c>
      <c r="G38" s="2">
        <v>3</v>
      </c>
    </row>
    <row r="39" spans="1:7" ht="28.8" customHeight="1" x14ac:dyDescent="0.3">
      <c r="A39" s="2">
        <v>38</v>
      </c>
      <c r="B39" s="2" t="s">
        <v>53</v>
      </c>
      <c r="C39" s="2" t="s">
        <v>40</v>
      </c>
      <c r="D39" s="2">
        <v>3</v>
      </c>
      <c r="E39" s="2">
        <v>1</v>
      </c>
      <c r="F39" s="2" t="s">
        <v>41</v>
      </c>
      <c r="G39" s="2">
        <v>3</v>
      </c>
    </row>
  </sheetData>
  <conditionalFormatting sqref="C2:C39">
    <cfRule type="colorScale" priority="4">
      <colorScale>
        <cfvo type="min"/>
        <cfvo type="max"/>
        <color rgb="FFFF7128"/>
        <color rgb="FFFFEF9C"/>
      </colorScale>
    </cfRule>
    <cfRule type="containsText" dxfId="3" priority="5" stopIfTrue="1" operator="containsText" text="Away">
      <formula>NOT(ISERROR(SEARCH("Away",C2)))</formula>
    </cfRule>
  </conditionalFormatting>
  <conditionalFormatting sqref="F1:F39">
    <cfRule type="cellIs" dxfId="2" priority="2" operator="equal">
      <formula>"Draw"</formula>
    </cfRule>
  </conditionalFormatting>
  <conditionalFormatting sqref="F2:F39">
    <cfRule type="cellIs" dxfId="1" priority="1" operator="equal">
      <formula>"Loss"</formula>
    </cfRule>
    <cfRule type="containsText" dxfId="0" priority="3" operator="containsText" text="Win">
      <formula>NOT(ISERROR(SEARCH("Win",F2)))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0725-7F26-4AE4-B030-EC087C33D6B6}">
  <dimension ref="A1:E17"/>
  <sheetViews>
    <sheetView workbookViewId="0">
      <selection activeCell="H9" sqref="H9"/>
    </sheetView>
  </sheetViews>
  <sheetFormatPr defaultRowHeight="14.4" x14ac:dyDescent="0.3"/>
  <cols>
    <col min="1" max="1" width="12" customWidth="1"/>
    <col min="2" max="2" width="14.21875" customWidth="1"/>
    <col min="4" max="4" width="16" customWidth="1"/>
    <col min="5" max="5" width="15.5546875" customWidth="1"/>
  </cols>
  <sheetData>
    <row r="1" spans="1:5" ht="28.8" customHeight="1" thickBot="1" x14ac:dyDescent="0.35">
      <c r="A1" s="8" t="s">
        <v>91</v>
      </c>
      <c r="B1" s="9" t="s">
        <v>0</v>
      </c>
      <c r="C1" s="13" t="s">
        <v>76</v>
      </c>
      <c r="D1" s="1" t="s">
        <v>89</v>
      </c>
      <c r="E1" t="s">
        <v>90</v>
      </c>
    </row>
    <row r="2" spans="1:5" ht="28.8" customHeight="1" thickTop="1" x14ac:dyDescent="0.3">
      <c r="A2" s="4" t="s">
        <v>78</v>
      </c>
      <c r="B2" s="10" t="s">
        <v>8</v>
      </c>
      <c r="C2">
        <v>52</v>
      </c>
      <c r="D2" s="2">
        <v>375000</v>
      </c>
      <c r="E2">
        <f t="shared" ref="E2:E17" si="0">PRODUCT(C2:D2)</f>
        <v>19500000</v>
      </c>
    </row>
    <row r="3" spans="1:5" ht="28.8" customHeight="1" x14ac:dyDescent="0.3">
      <c r="A3" s="5" t="s">
        <v>79</v>
      </c>
      <c r="B3" s="11" t="s">
        <v>11</v>
      </c>
      <c r="C3">
        <v>52</v>
      </c>
      <c r="D3" s="2">
        <v>400000</v>
      </c>
      <c r="E3">
        <f t="shared" si="0"/>
        <v>20800000</v>
      </c>
    </row>
    <row r="4" spans="1:5" ht="28.8" customHeight="1" x14ac:dyDescent="0.3">
      <c r="A4" s="4" t="s">
        <v>80</v>
      </c>
      <c r="B4" s="10" t="s">
        <v>14</v>
      </c>
      <c r="C4">
        <v>52</v>
      </c>
      <c r="D4" s="2">
        <v>225000</v>
      </c>
      <c r="E4">
        <f t="shared" si="0"/>
        <v>11700000</v>
      </c>
    </row>
    <row r="5" spans="1:5" ht="28.8" customHeight="1" x14ac:dyDescent="0.3">
      <c r="A5" s="5" t="s">
        <v>81</v>
      </c>
      <c r="B5" s="11" t="s">
        <v>64</v>
      </c>
      <c r="C5">
        <v>52</v>
      </c>
      <c r="D5" s="2">
        <v>150000</v>
      </c>
      <c r="E5">
        <f t="shared" si="0"/>
        <v>7800000</v>
      </c>
    </row>
    <row r="6" spans="1:5" ht="28.8" customHeight="1" x14ac:dyDescent="0.3">
      <c r="A6" s="4" t="s">
        <v>82</v>
      </c>
      <c r="B6" s="10" t="s">
        <v>17</v>
      </c>
      <c r="C6">
        <v>52</v>
      </c>
      <c r="D6" s="2">
        <v>300000</v>
      </c>
      <c r="E6">
        <f t="shared" si="0"/>
        <v>15600000</v>
      </c>
    </row>
    <row r="7" spans="1:5" ht="28.8" customHeight="1" x14ac:dyDescent="0.3">
      <c r="A7" s="5" t="s">
        <v>83</v>
      </c>
      <c r="B7" s="11" t="s">
        <v>20</v>
      </c>
      <c r="C7">
        <v>52</v>
      </c>
      <c r="D7" s="2">
        <v>220000</v>
      </c>
      <c r="E7">
        <f t="shared" si="0"/>
        <v>11440000</v>
      </c>
    </row>
    <row r="8" spans="1:5" ht="28.8" customHeight="1" x14ac:dyDescent="0.3">
      <c r="A8" s="4" t="s">
        <v>84</v>
      </c>
      <c r="B8" s="10" t="s">
        <v>23</v>
      </c>
      <c r="C8">
        <v>52</v>
      </c>
      <c r="D8" s="2">
        <v>300000</v>
      </c>
      <c r="E8">
        <f t="shared" si="0"/>
        <v>15600000</v>
      </c>
    </row>
    <row r="9" spans="1:5" ht="28.8" customHeight="1" x14ac:dyDescent="0.3">
      <c r="A9" s="5" t="s">
        <v>78</v>
      </c>
      <c r="B9" s="11" t="s">
        <v>66</v>
      </c>
      <c r="C9">
        <v>52</v>
      </c>
      <c r="D9" s="2">
        <v>120000</v>
      </c>
      <c r="E9">
        <f t="shared" si="0"/>
        <v>6240000</v>
      </c>
    </row>
    <row r="10" spans="1:5" ht="28.8" customHeight="1" x14ac:dyDescent="0.3">
      <c r="A10" s="4" t="s">
        <v>80</v>
      </c>
      <c r="B10" s="10" t="s">
        <v>24</v>
      </c>
      <c r="C10">
        <v>52</v>
      </c>
      <c r="D10" s="2">
        <v>160000</v>
      </c>
      <c r="E10">
        <f t="shared" si="0"/>
        <v>8320000</v>
      </c>
    </row>
    <row r="11" spans="1:5" ht="28.8" customHeight="1" x14ac:dyDescent="0.3">
      <c r="A11" s="5" t="s">
        <v>82</v>
      </c>
      <c r="B11" s="11" t="s">
        <v>28</v>
      </c>
      <c r="C11">
        <v>52</v>
      </c>
      <c r="D11" s="2">
        <v>250000</v>
      </c>
      <c r="E11">
        <f t="shared" si="0"/>
        <v>13000000</v>
      </c>
    </row>
    <row r="12" spans="1:5" ht="28.8" customHeight="1" x14ac:dyDescent="0.3">
      <c r="A12" s="4" t="s">
        <v>85</v>
      </c>
      <c r="B12" s="10" t="s">
        <v>26</v>
      </c>
      <c r="C12">
        <v>52</v>
      </c>
      <c r="D12" s="2">
        <v>180000</v>
      </c>
      <c r="E12">
        <f t="shared" si="0"/>
        <v>9360000</v>
      </c>
    </row>
    <row r="13" spans="1:5" ht="28.8" customHeight="1" x14ac:dyDescent="0.3">
      <c r="A13" s="5" t="s">
        <v>84</v>
      </c>
      <c r="B13" s="11" t="s">
        <v>67</v>
      </c>
      <c r="C13">
        <v>52</v>
      </c>
      <c r="D13" s="2">
        <v>120000</v>
      </c>
      <c r="E13">
        <f t="shared" si="0"/>
        <v>6240000</v>
      </c>
    </row>
    <row r="14" spans="1:5" ht="28.8" customHeight="1" x14ac:dyDescent="0.3">
      <c r="A14" s="4" t="s">
        <v>82</v>
      </c>
      <c r="B14" s="10" t="s">
        <v>69</v>
      </c>
      <c r="C14">
        <v>52</v>
      </c>
      <c r="D14" s="2">
        <v>160000</v>
      </c>
      <c r="E14">
        <f t="shared" si="0"/>
        <v>8320000</v>
      </c>
    </row>
    <row r="15" spans="1:5" ht="28.8" customHeight="1" x14ac:dyDescent="0.3">
      <c r="A15" s="5" t="s">
        <v>79</v>
      </c>
      <c r="B15" s="11" t="s">
        <v>71</v>
      </c>
      <c r="C15">
        <v>52</v>
      </c>
      <c r="D15" s="2">
        <v>200000</v>
      </c>
      <c r="E15">
        <f t="shared" si="0"/>
        <v>10400000</v>
      </c>
    </row>
    <row r="16" spans="1:5" ht="28.8" customHeight="1" x14ac:dyDescent="0.3">
      <c r="A16" s="4" t="s">
        <v>86</v>
      </c>
      <c r="B16" s="10" t="s">
        <v>29</v>
      </c>
      <c r="C16">
        <v>52</v>
      </c>
      <c r="D16" s="2">
        <v>180000</v>
      </c>
      <c r="E16">
        <f t="shared" si="0"/>
        <v>9360000</v>
      </c>
    </row>
    <row r="17" spans="1:5" ht="28.8" customHeight="1" x14ac:dyDescent="0.3">
      <c r="A17" s="6" t="s">
        <v>78</v>
      </c>
      <c r="B17" s="12" t="s">
        <v>74</v>
      </c>
      <c r="C17">
        <v>52</v>
      </c>
      <c r="D17" s="2">
        <v>90000</v>
      </c>
      <c r="E17">
        <f t="shared" si="0"/>
        <v>4680000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a9a8b8c-3ea3-4799-a43e-5510398e7a3b}" enabled="0" method="" siteId="{ca9a8b8c-3ea3-4799-a43e-5510398e7a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stats</vt:lpstr>
      <vt:lpstr>Match results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Raesibe Maponya</dc:creator>
  <cp:lastModifiedBy>Cathrine Raesibe Maponya</cp:lastModifiedBy>
  <dcterms:created xsi:type="dcterms:W3CDTF">2026-04-21T16:44:09Z</dcterms:created>
  <dcterms:modified xsi:type="dcterms:W3CDTF">2026-04-24T12:54:41Z</dcterms:modified>
</cp:coreProperties>
</file>